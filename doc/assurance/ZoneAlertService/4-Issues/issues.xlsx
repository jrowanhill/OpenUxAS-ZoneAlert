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Dependable/Contracts/ASTRA/Deliverables/OpenUxAS-ZoneAlert/doc/assurance/ZoneAlertService/4-Issues/"/>
    </mc:Choice>
  </mc:AlternateContent>
  <xr:revisionPtr revIDLastSave="0" documentId="13_ncr:1_{AF29FD12-782A-2E42-A025-6AC574FC9A16}" xr6:coauthVersionLast="47" xr6:coauthVersionMax="47" xr10:uidLastSave="{00000000-0000-0000-0000-000000000000}"/>
  <bookViews>
    <workbookView xWindow="2080" yWindow="500" windowWidth="33760" windowHeight="20740" xr2:uid="{C9A58872-7F3C-C947-8C7B-D579EDD417B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<sst xmlns="http://schemas.openxmlformats.org/spreadsheetml/2006/main" count="205" uniqueCount="111">
  <si>
    <t>Status</t>
  </si>
  <si>
    <t>Description</t>
  </si>
  <si>
    <t>ID</t>
  </si>
  <si>
    <t>UPATES</t>
  </si>
  <si>
    <t>Resulting Status</t>
  </si>
  <si>
    <t>Date</t>
  </si>
  <si>
    <t>Start Date</t>
  </si>
  <si>
    <t>Close Date</t>
  </si>
  <si>
    <t>OPEN</t>
  </si>
  <si>
    <t>Definition</t>
  </si>
  <si>
    <t>We don't know if vehicle configurations describe a collision radius for vehicles and can be obtained from vehicle configs are must be otherwise defined.</t>
  </si>
  <si>
    <t>Vechicle config messages, as observed in XML files, do not contain any fields for a vehicle radius. No inferrable radius is available, either.</t>
  </si>
  <si>
    <t>We don't know what messages are needed to identify relevant keep-in and keep-out zones</t>
  </si>
  <si>
    <t>We don't know what subscription is needed to entity state to receive position and velocity information</t>
  </si>
  <si>
    <t>Direct Artifact(s)</t>
  </si>
  <si>
    <t>topLevelSpecification.docx</t>
  </si>
  <si>
    <t>Checking other services, such as path planning, that are known to consider vehicle size. Understand how path planning applies size of vehicles and duplicate that model in our service, for consistency. Validate this with Sean.</t>
  </si>
  <si>
    <t>We don't know what messages are needed to identify relevant vehicles</t>
  </si>
  <si>
    <t>Investigating message flow to find the appropriate message. Looking in particular at VehicleConfiguration messages</t>
  </si>
  <si>
    <t>EntityConfiguration Messages are sent early and have a unique ID for each vehicle announcing it. This is what we need.</t>
  </si>
  <si>
    <t>RESOLVED</t>
  </si>
  <si>
    <t>It is eveident from viewing existing service examples that afrl::cmasi::KeepOutZone and 
frl::cmasi::KeepInZone are sufficient message</t>
  </si>
  <si>
    <t>it is evidence from examining existing services that afrl::cmasi::AirVehicleState,
afrl::vehicles::GroundVehicleState, and afrl::vehicles::SurfaceVehicleState are sufficient</t>
  </si>
  <si>
    <t>Documented in specification</t>
  </si>
  <si>
    <t>There is a fixed constant buffering size in the vehicle path planning. Should we apply this same constant buffer, or make it a parameter of the service? Ask Sean if he has an opinion.</t>
  </si>
  <si>
    <t>CMASI:AbstractZone has a padding attribute that defaults to zero. This padding vavlue is a standin for a vehicle radius + any additional semantics to buffer extra padding around zone boundaries</t>
  </si>
  <si>
    <t>Need to write a design constraint requirement of the system that it re-use the polygon structure already present in OpenUxAS</t>
  </si>
  <si>
    <t>OK. Use zone padding. Make a requirement that the ZoneAlertService re-use polygon models from route service. This is now sub-issue 1.20. This will maintain common semantics as well as allow both to use a hardened code base. Consider as opposed to re-doing geometry which might provide error detection in diversity between the two polygon solutions but might also contain common errors (see Knight and Levison result).</t>
  </si>
  <si>
    <t>Question: Modify behavior and functional spec to use zone padding rather than vehicle radius? Force our service to use the same data structures as the existing service, so that padding is always semantically equivalent? Ultimately, what does the visbility graph use? Also, When is it applied. In polygons or in some lower-level data structure? Determining this is sub-issue 1.10.</t>
  </si>
  <si>
    <t>Asking Sean</t>
  </si>
  <si>
    <t>AbstractZone data has minimum and maximum altitudes for zones. Are those in use and are they in scope for our work? What about temporal data in AbstractZones as well?</t>
  </si>
  <si>
    <t>Need to determine if padding from zones as declared is actually used by route planning service. What paadding is used? Where is it used? In polygon model or in some lower-level data structure?</t>
  </si>
  <si>
    <t>Investigating the source code. We can see the padding data is being passed to CPolygon class constructor where it goes into the AbstractZone constructor. I need to get a hold of AbstractZone.h. Found it on virtual machine where LMCP message classes were built. There is a getter getPadding() that I can search for. The visibiliry graph setup algorithms do pass this data, now I remember. THey get the padding, but I'm still following to see if it is used. The non-visibility graph version of the algorith does  store padding as well, checking that it grows reagions for keep-outs and shrinks for keep in. So some semantic checking there. But looking further in the code for the Visilibility Version of the system, Keep In Zones have their padding overridden with zero in a work queue and a comment says "no expansion or shrinking"! In contrast keep out boundaries are allowed to have &gt; 0 padding pass through, but shrinking is disallowed in the code. The actual expansion code for keep out zones is somewhat complex and uses bevelling edges depending on the angle of interactin of two consecutive edges. But basically for each polygon, it puts a rectangle around each edge and then merges those polygons together. The resulting polygon, with some additional bevelling polygons in there, is the puffed up keep-out zone. Oh boy. That semantics is a bit tricky!</t>
  </si>
  <si>
    <t>Sean says this is not used by services that he knows of. It is not used by route planning, and we will follow that semantics. I will make a note that nothing but 2d is used for zones in behavior and specification documents, and also make clear that we follow the semantics used in the route planner service interpretation of zones. no temporal aspects, no lists of vehicle IDs that it applies to.</t>
  </si>
  <si>
    <t>In summary: both versions of route planning service use padding, but differ in the resulting usage. Both will ingore padding that defines a shrink of a keep-out zone or growth of a keep in-zone. Such padding is ignored and the zone polygon set up instead with zero padding. One system enforces growth on keep-out zones and enforces no shrink padding on keep-in zones. The other enforces growth on keep-out zones and shrink on keep-in zones.</t>
  </si>
  <si>
    <t>Documents are updated to reflect the resulting  design change, the issue is now closed.</t>
  </si>
  <si>
    <t>Behavior document states that violation notifications for a vehicle will not be sent if a vehicle is within distance Ed of its planned route at last position report. This is erroneous, it would be better behavior to base this on projected current position relative to the path. Thus, if the state report is very stale, and projected time on linear trajectory would assume the vehicle has drifted from the route, it should report the potential violation. This way, path sensativity is sensative to the staleness of state reports relative to the route curvature.</t>
  </si>
  <si>
    <t>Resolved, behavior document and functional specification altered accordingly.</t>
  </si>
  <si>
    <t>Behavior document erroneously states messages will and will not be resent for the same zone violation by the same aircraft as predicted or occcuring presently for the given aircraft.</t>
  </si>
  <si>
    <t>Fixed to be consistent with the desired behavior of always resending messages based on current data and computation of the service</t>
  </si>
  <si>
    <t>Decide if we want a strongly-coupled re-use of code or a weakly-coupled re-use of a refactored sub-service to compute actual zone polygons from reported zones</t>
  </si>
  <si>
    <t>What is the interaction of projected future violation notifications and current notifications? In the  0.3 behavior document, it is now clear that different semantics for projection of future and current violations might require order of precedence for reporting or not reporting one or both types. Define in the document.</t>
  </si>
  <si>
    <t>Defined a clear definition of how the services might interact in version 0.5 of the document</t>
  </si>
  <si>
    <t>The intiital definition did not pass review, as a case of interest was raised where there is a future time violation of the current path after a part of the path would not be in violation.</t>
  </si>
  <si>
    <t xml:space="preserve">The chosen rules are maintained and the case that may be of concern is presented to the reader. </t>
  </si>
  <si>
    <t>Review case with stakeholders</t>
  </si>
  <si>
    <t xml:space="preserve">Based on the results of issues  1.10 and 1.20, we need to update the behavior document (Issue 1.3) and and functional specification (Issue 1.4) to apply zone buffering and not vehicle radius.  </t>
  </si>
  <si>
    <t>Behavior document must be updated to reflect use of the zone buffer concept rather than vehicle radius.</t>
  </si>
  <si>
    <t>Functional specificaiton document must be updated to reflext use of the zone buffer concept rather than vehicle radius.</t>
  </si>
  <si>
    <t>Behavior document was updated to reflect use of zone buffer size rather than vehicle collsion radius.</t>
  </si>
  <si>
    <t>Staekholders accept a threshold function that determines earliest possible violation only</t>
  </si>
  <si>
    <t>Put all the documentation in a subservice directory in an isolated place not pollute the main do directoy</t>
  </si>
  <si>
    <t xml:space="preserve">Move docs under a C++ service directory to not pollute </t>
  </si>
  <si>
    <t>Updated and completed</t>
  </si>
  <si>
    <t>1.3 and 1.4 are resolved, therefore this issue is resolved.</t>
  </si>
  <si>
    <t>CANCELED</t>
  </si>
  <si>
    <t>Overall assurance argument form is too generic / abstract. The argument should directly represent the specific reasoning for the problem at hand and its solution.</t>
  </si>
  <si>
    <t>Recording the initial problem, discussion with stakeholder</t>
  </si>
  <si>
    <t>Attempt top rewrite the problem branch argument to be more specific</t>
  </si>
  <si>
    <t>Review of rewrite with stakeholder, recording of comments</t>
  </si>
  <si>
    <t>Hybrid argument with confidence wing. Such that the direct argument is the problem diagram</t>
  </si>
  <si>
    <t>Problem diagram syntax is too nebulous and content needs to be made more accurate and complete, emblamatic.</t>
  </si>
  <si>
    <t>Process and artifact evidence for problem argument is mostly not yet implemented. Build it</t>
  </si>
  <si>
    <t>A domain-specific diagram or form for explanation of the solution specification should be provided. Right now we just use a behavior definition document. Is that good enough?</t>
  </si>
  <si>
    <t>Rebuild problem space diagram to be more accurate.</t>
  </si>
  <si>
    <t>Applied a state-based model to the definition of each problem and showed how they are defined against requirements in various hierarchies of sub-solution.</t>
  </si>
  <si>
    <t>A version of the argument that refers to the problem diagram and explains intermediate solutions and the identification of the specific lower-level problem to solve has been written</t>
  </si>
  <si>
    <t>Discussion and comparison of the two problem arguent versions (one that refers to problemSpace.png, and another that cites it and explains the diagram reasoning.)</t>
  </si>
  <si>
    <t>CANCELLED</t>
  </si>
  <si>
    <t>Updated problem diagram and argument based on Sean's feedback</t>
  </si>
  <si>
    <t>Rewrite problem diagram and argument based on Sean's feedback</t>
  </si>
  <si>
    <t>Process argument eliminated from problem argument in favor of direct reasoning</t>
  </si>
  <si>
    <t>Solution exploration revealed that our code has the wrong model of keep-in zone semantics. Should store the first keep-in zone that each is in if any. If  in one at start, violation occurs if leave all overlapping keep-ins including starting one. Otherwise if not in one, then no keep-in zone violation will occur.</t>
  </si>
  <si>
    <t>Continue to work on problem diagram and its temporal form, reach conclusion state</t>
  </si>
  <si>
    <t>CLOSED</t>
  </si>
  <si>
    <t>Maintain both classical problem frames diagram as well as solution exploration diagram</t>
  </si>
  <si>
    <t xml:space="preserve"> </t>
  </si>
  <si>
    <t>Updated documents to reflect keep-in zone behavior</t>
  </si>
  <si>
    <t>Continued work to update documentation for vehicle behavior and solution specificaiton</t>
  </si>
  <si>
    <t>Noted an alternative solution that only considers last keep-in zone the vehicel is in on its last state report.</t>
  </si>
  <si>
    <t>Discussed options for solution with stakeholders</t>
  </si>
  <si>
    <t>Updated documentation and graphs to show selected behavior and solution approach</t>
  </si>
  <si>
    <t>Having developed problem frame and soltion exploration diagram formats as part of research, this question is resolved to our satisfaction.</t>
  </si>
  <si>
    <t>Decided to code a copy of zone merge that is tech debt</t>
  </si>
  <si>
    <t>Tech Debt: Zone Merge Code is a copy of semantics obseved elsewhere. Result duplicate zone merging computation with slightly different semantics in various OpenUxAS Services.</t>
  </si>
  <si>
    <t>The requirement SR-1 fails to dlineate time window values that make semantic sense within the domain of a 64 bit integer.</t>
  </si>
  <si>
    <t>Determined that the window must be a non-negative number</t>
  </si>
  <si>
    <t>Erroneous. The requirements do exist.</t>
  </si>
  <si>
    <t>Looking at Requirement 4-3-2, it is clear that the requirement is somewhat off base. Zones are stored and considered as polygons in a cartesian space, but declared as geometric objects on the surface of the earth by latitude and longitude.</t>
  </si>
  <si>
    <t xml:space="preserve">requirements, </t>
  </si>
  <si>
    <t>Updated SR-6 to explain that the semantics of zone merging are defined already</t>
  </si>
  <si>
    <t>IT is noted that HL-1-2 covers this but that it is not decomposed sufficiently over how cartesian zones are established and computed against. Resultingly, added alanguage to SR-4 to make it clear that it stores them in route planner cartesian space. That way, combined with other requirements for polygon merging in the same way as routeplanner, we can claim support for HL-1-2 geometry correctness. Then modified the sub-requirements ith SR-4-3-2 in particular noting how and what is stored in cartesian geometrry</t>
  </si>
  <si>
    <t>Both keep-in and keep-out rectangle zone geometry is not doing any padding. This seems to not match what JR recalls about one of the Route Planning services. At least one of keep in or keep out should pad. Where and how does it do it and do we want that behavior?</t>
  </si>
  <si>
    <t>So in ROutePlannerVisibilitySerice, when processing an operating reqgion definiiotn, one builds the visibility graph and it papears zone padding gets passed in there. So we really need to be doing padding in and around that graph generation /merging etc</t>
  </si>
  <si>
    <t>Checking for degenerate polygons is not yet implemented</t>
  </si>
  <si>
    <t>Note of exception for allowing degenerate polygons is added to requirement chain for now, so that the user is aware that unknown behavior might occur if they generate zones poorly or zones so small that they become degenerate polygons</t>
  </si>
  <si>
    <t>Note that this is a software defect until such time as degenerte polygons are detected and eliminated so as to be safer and to be equivalent to RoutePLannerVisbilityService code</t>
  </si>
  <si>
    <t>The RoutePlannerVisibiliyService makes sure that all polygons are simple with a minimal epsilong speration of 1*10^-8. Not sure if this is for vertices or all non-same edge separation as well. Our code also does not do this.</t>
  </si>
  <si>
    <t>THE ZONE ALERT SERVICE ALL VERTICES THAT ARE NOT SEPRATED BY AT LEAST ONE METER. This is followed by complex semantics on what it means to grow keep out zones combined with zone merges</t>
  </si>
  <si>
    <t>Investigate changing our code to further use RoutePlannerVisilibityService for now</t>
  </si>
  <si>
    <t>Investigation of issue 18.00 shows that we were in fact doing all the expansion exactly as RoutePlannerVisbilityService and forgot we were copying that work from the enxt step of processing in the latter's service. Issue resolved.</t>
  </si>
  <si>
    <t>Determined that our CODE DOES copy the RoutePlannerVisibiolityService directly, we just forgot. CLOSED AND OPENING ISSUE 19</t>
  </si>
  <si>
    <t>Requirements hierarchy does not accurately reflect how we are copying the code from RoutePlannerVisbilityService to assure semantic consistency with that serice's beahvior based on its current checkin</t>
  </si>
  <si>
    <t>Modifying requirements hierarchy in SR-6 to better reflext our intentions as found in code architecture, pseudocode, and its implementation for SR-6</t>
  </si>
  <si>
    <t>Updating texting structure and sketched assurance argument  for SR-6 to better match what we intende dinthe architecture, psuedocode, implementation, and as reflected in the updated requirements</t>
  </si>
  <si>
    <t>The current code is not compliant with our declared architecture, as the intermediate functions of the Zone Alert Service (just under processLMCP) are not utilized. They are errorneous global symbols i the header file with no body code defined. Instead processLMCPRequest just does all of the logic for each received message directly. This makes the architecture misleading and also decreases tesstability.</t>
  </si>
  <si>
    <t>Updated the code to be compliant with the architecture. processReceivedLmcpMessage now calls subfunctions as defined in the architecture to handle the logic for the received message types.</t>
  </si>
  <si>
    <t>Copying and passting the code for re-use from RoutePlanningVisbilityService, in order to utilize the same computed geomtry as the route planner, is not future- safe enough to keep Route planning and zone alerting geomertry in sync</t>
  </si>
  <si>
    <t xml:space="preserve">Update the the RoutePlanningVisibilityService to allow SimpleZoneAlertComputer to be a friend, able to access non-public members of the RoutePlanningVisibbilityService. This allows us to carefully use its internal geometry computqtions . We only need the bindPointsforeometry stuff. Modified everything to work this way and got rid of the copied code. </t>
  </si>
  <si>
    <t>Zones are processed by services in the order received. If RoutePlannerVisibilityService and Zone Alert Service  are utilized on different computers they may get different order of received zones depending on properties of underlying message queue protocol applied by OpenUxAS.</t>
  </si>
  <si>
    <t>Zones processed for final geometry can differ between ZoneAlertService and RoutePlannerVisibilityService. The latter operates on Operating Region zone sets. The former operates on a global set of declared zones. Reesultingly their inputs to zone finalization differ and they can therefore differ in finding errors in zone polygons and in merging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</si>
</sst>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medium">
        <color indexed="64"/>
      </top>
      <bottom/>
      <diagonal/>
    </border>
    <border>
      <left/>
      <right style="double">
        <color indexed="64"/>
      </right>
      <top/>
      <bottom/>
      <diagonal/>
    </border>
    <border>
      <left/>
      <right style="double">
        <color indexed="64"/>
      </right>
      <top style="medium">
        <color indexed="64"/>
      </top>
      <bottom/>
      <diagonal/>
    </border>
  </borders>
  <cellStyleXfs count="1">
    <xf numFmtId="0" fontId="0" fillId="0" borderId="0"/>
  </cellStyleXfs>
  <cellXfs count="19">
    <xf numFmtId="0" fontId="0" fillId="0" borderId="0" xfId="0"/>
    <xf numFmtId="0" fontId="1" fillId="0" borderId="1" xfId="0" applyFont="1" applyBorder="1"/>
    <xf numFmtId="164" fontId="1" fillId="0" borderId="1" xfId="0" applyNumberFormat="1" applyFont="1" applyBorder="1"/>
    <xf numFmtId="164" fontId="0" fillId="0" borderId="2" xfId="0" applyNumberFormat="1" applyBorder="1"/>
    <xf numFmtId="164" fontId="0" fillId="0" borderId="0" xfId="0" applyNumberFormat="1"/>
    <xf numFmtId="0" fontId="0" fillId="0" borderId="2" xfId="0" applyBorder="1" applyAlignment="1">
      <alignment wrapText="1"/>
    </xf>
    <xf numFmtId="0" fontId="0" fillId="0" borderId="0" xfId="0" applyAlignment="1">
      <alignment wrapText="1"/>
    </xf>
    <xf numFmtId="0" fontId="1" fillId="0" borderId="1" xfId="0" applyFont="1" applyBorder="1" applyAlignment="1">
      <alignment wrapText="1"/>
    </xf>
    <xf numFmtId="164" fontId="0" fillId="0" borderId="4" xfId="0" applyNumberFormat="1" applyBorder="1"/>
    <xf numFmtId="164" fontId="0" fillId="0" borderId="3" xfId="0" applyNumberFormat="1" applyBorder="1"/>
    <xf numFmtId="2" fontId="0" fillId="0" borderId="0" xfId="0" applyNumberFormat="1"/>
    <xf numFmtId="0" fontId="1" fillId="0" borderId="0" xfId="0" applyFont="1" applyAlignment="1">
      <alignment horizontal="center"/>
    </xf>
    <xf numFmtId="2" fontId="1" fillId="0" borderId="0" xfId="0" applyNumberFormat="1" applyFont="1" applyAlignment="1">
      <alignment horizontal="center"/>
    </xf>
    <xf numFmtId="2" fontId="1" fillId="0" borderId="1" xfId="0" applyNumberFormat="1" applyFont="1" applyBorder="1" applyAlignment="1">
      <alignment horizontal="center"/>
    </xf>
    <xf numFmtId="0" fontId="1" fillId="0" borderId="1" xfId="0" applyFont="1" applyBorder="1" applyAlignment="1">
      <alignment horizontal="center"/>
    </xf>
    <xf numFmtId="0" fontId="1" fillId="0" borderId="0" xfId="0" applyFont="1" applyAlignment="1">
      <alignment horizontal="center" wrapText="1"/>
    </xf>
    <xf numFmtId="164" fontId="1" fillId="0" borderId="0" xfId="0" applyNumberFormat="1" applyFont="1" applyAlignment="1">
      <alignment horizontal="center"/>
    </xf>
    <xf numFmtId="164" fontId="1" fillId="0" borderId="3" xfId="0" applyNumberFormat="1" applyFont="1" applyBorder="1" applyAlignment="1">
      <alignment horizontal="center"/>
    </xf>
    <xf numFmtId="0" fontId="1"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91FDD-30FA-7E4F-8B50-3438F693C3DF}">
  <dimension ref="A1:I74"/>
  <sheetViews>
    <sheetView tabSelected="1" topLeftCell="A69" zoomScale="99" workbookViewId="0">
      <selection activeCell="D81" sqref="D81"/>
    </sheetView>
  </sheetViews>
  <sheetFormatPr baseColWidth="10" defaultRowHeight="16" x14ac:dyDescent="0.2"/>
  <cols>
    <col min="1" max="1" width="14.5" style="10" customWidth="1"/>
    <col min="2" max="2" width="13.6640625" customWidth="1"/>
    <col min="3" max="4" width="47.5" style="6" customWidth="1"/>
    <col min="5" max="5" width="15.1640625" style="4" customWidth="1"/>
    <col min="6" max="6" width="15.1640625" style="9" customWidth="1"/>
    <col min="7" max="7" width="17.6640625" style="4" customWidth="1"/>
    <col min="8" max="8" width="76" style="6" customWidth="1"/>
    <col min="9" max="9" width="32.83203125" customWidth="1"/>
  </cols>
  <sheetData>
    <row r="1" spans="1:9" x14ac:dyDescent="0.2">
      <c r="A1" s="12" t="s">
        <v>2</v>
      </c>
      <c r="B1" s="11" t="s">
        <v>0</v>
      </c>
      <c r="C1" s="15" t="s">
        <v>9</v>
      </c>
      <c r="D1" s="15" t="s">
        <v>14</v>
      </c>
      <c r="E1" s="16" t="s">
        <v>6</v>
      </c>
      <c r="F1" s="17" t="s">
        <v>7</v>
      </c>
      <c r="G1" s="11" t="s">
        <v>3</v>
      </c>
      <c r="H1" s="11"/>
      <c r="I1" s="11"/>
    </row>
    <row r="2" spans="1:9" ht="18" thickBot="1" x14ac:dyDescent="0.25">
      <c r="A2" s="13"/>
      <c r="B2" s="14"/>
      <c r="C2" s="15"/>
      <c r="D2" s="18"/>
      <c r="E2" s="16"/>
      <c r="F2" s="17"/>
      <c r="G2" s="2" t="s">
        <v>5</v>
      </c>
      <c r="H2" s="7" t="s">
        <v>1</v>
      </c>
      <c r="I2" s="1" t="s">
        <v>4</v>
      </c>
    </row>
    <row r="3" spans="1:9" ht="51" x14ac:dyDescent="0.2">
      <c r="A3" s="10">
        <v>1</v>
      </c>
      <c r="B3" t="s">
        <v>20</v>
      </c>
      <c r="C3" s="5" t="s">
        <v>10</v>
      </c>
      <c r="D3" s="5" t="s">
        <v>15</v>
      </c>
      <c r="E3" s="3">
        <v>45311</v>
      </c>
      <c r="F3" s="8">
        <v>45322</v>
      </c>
      <c r="G3" s="4">
        <v>45315</v>
      </c>
      <c r="H3" s="6" t="s">
        <v>11</v>
      </c>
      <c r="I3" t="s">
        <v>8</v>
      </c>
    </row>
    <row r="4" spans="1:9" ht="51" x14ac:dyDescent="0.2">
      <c r="G4" s="4">
        <v>45315</v>
      </c>
      <c r="H4" s="6" t="s">
        <v>16</v>
      </c>
      <c r="I4" t="s">
        <v>8</v>
      </c>
    </row>
    <row r="5" spans="1:9" ht="51" x14ac:dyDescent="0.2">
      <c r="G5" s="4">
        <v>45316</v>
      </c>
      <c r="H5" s="6" t="s">
        <v>24</v>
      </c>
      <c r="I5" t="s">
        <v>8</v>
      </c>
    </row>
    <row r="6" spans="1:9" ht="51" x14ac:dyDescent="0.2">
      <c r="G6" s="4">
        <v>45317</v>
      </c>
      <c r="H6" s="6" t="s">
        <v>25</v>
      </c>
    </row>
    <row r="7" spans="1:9" ht="85" x14ac:dyDescent="0.2">
      <c r="G7" s="4">
        <v>45317</v>
      </c>
      <c r="H7" s="6" t="s">
        <v>28</v>
      </c>
      <c r="I7" t="s">
        <v>8</v>
      </c>
    </row>
    <row r="8" spans="1:9" ht="85" x14ac:dyDescent="0.2">
      <c r="G8" s="4">
        <v>45320</v>
      </c>
      <c r="H8" s="6" t="s">
        <v>27</v>
      </c>
      <c r="I8" t="s">
        <v>8</v>
      </c>
    </row>
    <row r="9" spans="1:9" ht="51" x14ac:dyDescent="0.2">
      <c r="G9" s="4">
        <v>45321</v>
      </c>
      <c r="H9" s="6" t="s">
        <v>46</v>
      </c>
      <c r="I9" t="s">
        <v>8</v>
      </c>
    </row>
    <row r="10" spans="1:9" ht="17" x14ac:dyDescent="0.2">
      <c r="G10" s="4">
        <v>45322</v>
      </c>
      <c r="H10" s="6" t="s">
        <v>54</v>
      </c>
      <c r="I10" t="s">
        <v>20</v>
      </c>
    </row>
    <row r="11" spans="1:9" ht="17" x14ac:dyDescent="0.2">
      <c r="G11" s="4">
        <v>45321</v>
      </c>
      <c r="H11" s="6" t="s">
        <v>35</v>
      </c>
      <c r="I11" t="s">
        <v>20</v>
      </c>
    </row>
    <row r="12" spans="1:9" ht="34" x14ac:dyDescent="0.2">
      <c r="A12" s="10">
        <v>2</v>
      </c>
      <c r="B12" t="s">
        <v>20</v>
      </c>
      <c r="C12" s="6" t="s">
        <v>17</v>
      </c>
      <c r="D12" s="6" t="s">
        <v>15</v>
      </c>
      <c r="E12" s="4">
        <v>45311</v>
      </c>
      <c r="F12" s="9">
        <v>45316</v>
      </c>
      <c r="G12" s="4">
        <v>4</v>
      </c>
      <c r="H12" s="6" t="s">
        <v>18</v>
      </c>
      <c r="I12" t="s">
        <v>8</v>
      </c>
    </row>
    <row r="13" spans="1:9" ht="34" x14ac:dyDescent="0.2">
      <c r="G13" s="4">
        <v>45316</v>
      </c>
      <c r="H13" s="6" t="s">
        <v>19</v>
      </c>
      <c r="I13" t="s">
        <v>8</v>
      </c>
    </row>
    <row r="14" spans="1:9" ht="17" x14ac:dyDescent="0.2">
      <c r="H14" s="6" t="s">
        <v>23</v>
      </c>
      <c r="I14" t="s">
        <v>20</v>
      </c>
    </row>
    <row r="15" spans="1:9" ht="34" x14ac:dyDescent="0.2">
      <c r="A15" s="10">
        <v>3</v>
      </c>
      <c r="B15" t="s">
        <v>20</v>
      </c>
      <c r="C15" s="6" t="s">
        <v>12</v>
      </c>
      <c r="D15" s="6" t="s">
        <v>15</v>
      </c>
      <c r="E15" s="4">
        <v>45311</v>
      </c>
      <c r="F15" s="9">
        <v>45316</v>
      </c>
      <c r="G15" s="4">
        <v>45316</v>
      </c>
      <c r="H15" s="6" t="s">
        <v>21</v>
      </c>
      <c r="I15" t="s">
        <v>8</v>
      </c>
    </row>
    <row r="16" spans="1:9" ht="17" x14ac:dyDescent="0.2">
      <c r="G16" s="4">
        <v>45316</v>
      </c>
      <c r="H16" s="6" t="s">
        <v>23</v>
      </c>
      <c r="I16" t="s">
        <v>20</v>
      </c>
    </row>
    <row r="17" spans="1:9" ht="34" x14ac:dyDescent="0.2">
      <c r="A17" s="10">
        <v>4</v>
      </c>
      <c r="B17" t="s">
        <v>20</v>
      </c>
      <c r="C17" s="6" t="s">
        <v>13</v>
      </c>
      <c r="D17" s="6" t="s">
        <v>15</v>
      </c>
      <c r="E17" s="4">
        <v>45311</v>
      </c>
      <c r="F17" s="9">
        <v>45316</v>
      </c>
      <c r="G17" s="4">
        <v>45316</v>
      </c>
      <c r="H17" s="6" t="s">
        <v>22</v>
      </c>
      <c r="I17" t="s">
        <v>8</v>
      </c>
    </row>
    <row r="18" spans="1:9" ht="17" x14ac:dyDescent="0.2">
      <c r="G18" s="4">
        <v>45316</v>
      </c>
      <c r="H18" s="6" t="s">
        <v>23</v>
      </c>
      <c r="I18" t="s">
        <v>20</v>
      </c>
    </row>
    <row r="19" spans="1:9" ht="272" x14ac:dyDescent="0.2">
      <c r="A19" s="10">
        <v>1.1000000000000001</v>
      </c>
      <c r="B19" t="s">
        <v>20</v>
      </c>
      <c r="C19" s="6" t="s">
        <v>31</v>
      </c>
      <c r="E19" s="4">
        <v>45320</v>
      </c>
      <c r="F19" s="9">
        <v>45321</v>
      </c>
      <c r="G19" s="4">
        <v>45320</v>
      </c>
      <c r="H19" s="6" t="s">
        <v>32</v>
      </c>
      <c r="I19" t="s">
        <v>8</v>
      </c>
    </row>
    <row r="20" spans="1:9" ht="102" x14ac:dyDescent="0.2">
      <c r="G20" s="4">
        <v>45321</v>
      </c>
      <c r="H20" s="6" t="s">
        <v>34</v>
      </c>
      <c r="I20" t="s">
        <v>20</v>
      </c>
    </row>
    <row r="21" spans="1:9" ht="51" x14ac:dyDescent="0.2">
      <c r="A21" s="10">
        <v>1.2</v>
      </c>
      <c r="B21" t="s">
        <v>20</v>
      </c>
      <c r="C21" s="6" t="s">
        <v>26</v>
      </c>
      <c r="E21" s="4">
        <v>45320</v>
      </c>
      <c r="F21" s="9">
        <v>45444</v>
      </c>
      <c r="G21" s="4">
        <v>45321</v>
      </c>
      <c r="H21" s="6" t="s">
        <v>40</v>
      </c>
      <c r="I21" t="s">
        <v>8</v>
      </c>
    </row>
    <row r="22" spans="1:9" ht="17" x14ac:dyDescent="0.2">
      <c r="G22" s="4">
        <v>45444</v>
      </c>
      <c r="H22" s="6" t="s">
        <v>83</v>
      </c>
      <c r="I22" t="s">
        <v>20</v>
      </c>
    </row>
    <row r="23" spans="1:9" ht="68" x14ac:dyDescent="0.2">
      <c r="A23" s="10">
        <v>5</v>
      </c>
      <c r="B23" t="s">
        <v>20</v>
      </c>
      <c r="C23" s="6" t="s">
        <v>30</v>
      </c>
      <c r="E23" s="4">
        <v>45320</v>
      </c>
      <c r="F23" s="9">
        <v>45320</v>
      </c>
      <c r="G23" s="4">
        <v>45320</v>
      </c>
      <c r="H23" s="6" t="s">
        <v>29</v>
      </c>
      <c r="I23" t="s">
        <v>8</v>
      </c>
    </row>
    <row r="24" spans="1:9" ht="85" x14ac:dyDescent="0.2">
      <c r="G24" s="4">
        <v>45320</v>
      </c>
      <c r="H24" s="6" t="s">
        <v>33</v>
      </c>
      <c r="I24" t="s">
        <v>20</v>
      </c>
    </row>
    <row r="25" spans="1:9" ht="34" x14ac:dyDescent="0.2">
      <c r="A25" s="10">
        <v>1.3</v>
      </c>
      <c r="B25" t="s">
        <v>20</v>
      </c>
      <c r="C25" s="6" t="s">
        <v>47</v>
      </c>
      <c r="E25" s="4">
        <v>45321</v>
      </c>
      <c r="F25" s="9">
        <v>45321</v>
      </c>
      <c r="G25" s="4">
        <v>45321</v>
      </c>
      <c r="H25" s="6" t="s">
        <v>49</v>
      </c>
      <c r="I25" t="s">
        <v>20</v>
      </c>
    </row>
    <row r="26" spans="1:9" ht="51" x14ac:dyDescent="0.2">
      <c r="A26" s="10">
        <v>1.4</v>
      </c>
      <c r="B26" t="s">
        <v>20</v>
      </c>
      <c r="C26" s="6" t="s">
        <v>48</v>
      </c>
      <c r="E26" s="4">
        <v>45321</v>
      </c>
      <c r="F26" s="9">
        <v>45312</v>
      </c>
      <c r="G26" s="4">
        <v>45322</v>
      </c>
      <c r="H26" s="6" t="s">
        <v>53</v>
      </c>
      <c r="I26" t="s">
        <v>20</v>
      </c>
    </row>
    <row r="27" spans="1:9" ht="187" x14ac:dyDescent="0.2">
      <c r="A27" s="10">
        <v>6</v>
      </c>
      <c r="B27" t="s">
        <v>20</v>
      </c>
      <c r="C27" s="6" t="s">
        <v>36</v>
      </c>
      <c r="E27" s="4">
        <v>45321</v>
      </c>
      <c r="F27" s="9">
        <v>45321</v>
      </c>
      <c r="G27" s="4">
        <v>45321</v>
      </c>
      <c r="H27" s="6" t="s">
        <v>37</v>
      </c>
      <c r="I27" t="s">
        <v>20</v>
      </c>
    </row>
    <row r="28" spans="1:9" ht="68" x14ac:dyDescent="0.2">
      <c r="A28" s="10">
        <v>7</v>
      </c>
      <c r="B28" t="s">
        <v>20</v>
      </c>
      <c r="C28" s="6" t="s">
        <v>38</v>
      </c>
      <c r="E28" s="4">
        <v>45321</v>
      </c>
      <c r="F28" s="9">
        <v>45321</v>
      </c>
      <c r="G28" s="4">
        <v>45321</v>
      </c>
      <c r="H28" s="6" t="s">
        <v>39</v>
      </c>
      <c r="I28" t="s">
        <v>20</v>
      </c>
    </row>
    <row r="29" spans="1:9" ht="119" x14ac:dyDescent="0.2">
      <c r="A29" s="10">
        <v>8</v>
      </c>
      <c r="B29" t="s">
        <v>20</v>
      </c>
      <c r="C29" s="6" t="s">
        <v>41</v>
      </c>
      <c r="E29" s="4">
        <v>45321</v>
      </c>
      <c r="F29" s="9">
        <v>45321</v>
      </c>
      <c r="G29" s="4">
        <v>45321</v>
      </c>
      <c r="H29" s="6" t="s">
        <v>42</v>
      </c>
      <c r="I29" t="s">
        <v>8</v>
      </c>
    </row>
    <row r="30" spans="1:9" ht="51" x14ac:dyDescent="0.2">
      <c r="G30" s="4">
        <v>45321</v>
      </c>
      <c r="H30" s="6" t="s">
        <v>43</v>
      </c>
      <c r="I30" t="s">
        <v>8</v>
      </c>
    </row>
    <row r="31" spans="1:9" ht="34" x14ac:dyDescent="0.2">
      <c r="G31" s="4">
        <v>45321</v>
      </c>
      <c r="H31" s="6" t="s">
        <v>44</v>
      </c>
      <c r="I31" t="s">
        <v>8</v>
      </c>
    </row>
    <row r="32" spans="1:9" ht="17" x14ac:dyDescent="0.2">
      <c r="G32" s="4">
        <v>45321</v>
      </c>
      <c r="H32" s="6" t="s">
        <v>45</v>
      </c>
      <c r="I32" t="s">
        <v>8</v>
      </c>
    </row>
    <row r="33" spans="1:9" ht="17" x14ac:dyDescent="0.2">
      <c r="G33" s="4">
        <v>45321</v>
      </c>
      <c r="H33" s="6" t="s">
        <v>50</v>
      </c>
      <c r="I33" t="s">
        <v>20</v>
      </c>
    </row>
    <row r="34" spans="1:9" ht="34" x14ac:dyDescent="0.2">
      <c r="A34" s="10">
        <v>9</v>
      </c>
      <c r="B34" t="s">
        <v>68</v>
      </c>
      <c r="C34" s="6" t="s">
        <v>51</v>
      </c>
      <c r="E34" s="4">
        <v>45321</v>
      </c>
      <c r="F34" s="9">
        <v>45352</v>
      </c>
      <c r="G34" s="4">
        <v>45352</v>
      </c>
      <c r="H34" s="6" t="s">
        <v>52</v>
      </c>
      <c r="I34" t="s">
        <v>55</v>
      </c>
    </row>
    <row r="35" spans="1:9" ht="68" x14ac:dyDescent="0.2">
      <c r="A35" s="10">
        <v>10</v>
      </c>
      <c r="B35" t="s">
        <v>74</v>
      </c>
      <c r="C35" s="6" t="s">
        <v>63</v>
      </c>
      <c r="E35" s="4">
        <v>45321</v>
      </c>
      <c r="G35" s="4">
        <v>45607</v>
      </c>
      <c r="H35" s="6" t="s">
        <v>82</v>
      </c>
      <c r="I35" t="s">
        <v>74</v>
      </c>
    </row>
    <row r="36" spans="1:9" ht="34" x14ac:dyDescent="0.2">
      <c r="A36" s="10">
        <v>11</v>
      </c>
      <c r="B36" t="s">
        <v>20</v>
      </c>
      <c r="C36" s="6" t="s">
        <v>62</v>
      </c>
      <c r="E36" s="4">
        <v>45321</v>
      </c>
      <c r="F36" s="9">
        <v>45494</v>
      </c>
      <c r="I36" t="s">
        <v>8</v>
      </c>
    </row>
    <row r="37" spans="1:9" ht="17" x14ac:dyDescent="0.2">
      <c r="G37" s="4">
        <v>45494</v>
      </c>
      <c r="H37" s="6" t="s">
        <v>71</v>
      </c>
      <c r="I37" t="s">
        <v>20</v>
      </c>
    </row>
    <row r="38" spans="1:9" ht="68" x14ac:dyDescent="0.2">
      <c r="A38" s="10">
        <v>12</v>
      </c>
      <c r="B38" t="s">
        <v>8</v>
      </c>
      <c r="C38" s="6" t="s">
        <v>56</v>
      </c>
      <c r="E38" s="4">
        <v>45379</v>
      </c>
      <c r="G38" s="4">
        <v>45379</v>
      </c>
      <c r="H38" s="6" t="s">
        <v>57</v>
      </c>
      <c r="I38" t="s">
        <v>8</v>
      </c>
    </row>
    <row r="39" spans="1:9" ht="17" x14ac:dyDescent="0.2">
      <c r="G39" s="4">
        <v>45446</v>
      </c>
      <c r="H39" s="6" t="s">
        <v>58</v>
      </c>
      <c r="I39" t="s">
        <v>8</v>
      </c>
    </row>
    <row r="40" spans="1:9" ht="17" x14ac:dyDescent="0.2">
      <c r="G40" s="4">
        <v>45447</v>
      </c>
      <c r="H40" s="6" t="s">
        <v>59</v>
      </c>
      <c r="I40" t="s">
        <v>8</v>
      </c>
    </row>
    <row r="41" spans="1:9" ht="34" x14ac:dyDescent="0.2">
      <c r="A41" s="10" t="s">
        <v>76</v>
      </c>
      <c r="G41" s="4">
        <v>45447</v>
      </c>
      <c r="H41" s="6" t="s">
        <v>60</v>
      </c>
      <c r="I41" t="s">
        <v>8</v>
      </c>
    </row>
    <row r="43" spans="1:9" ht="34" x14ac:dyDescent="0.2">
      <c r="G43" s="4">
        <v>45447</v>
      </c>
      <c r="H43" s="6" t="s">
        <v>61</v>
      </c>
      <c r="I43" t="s">
        <v>8</v>
      </c>
    </row>
    <row r="44" spans="1:9" ht="17" x14ac:dyDescent="0.2">
      <c r="G44" s="4">
        <v>45478</v>
      </c>
      <c r="H44" s="6" t="s">
        <v>64</v>
      </c>
      <c r="I44" t="s">
        <v>8</v>
      </c>
    </row>
    <row r="45" spans="1:9" ht="34" x14ac:dyDescent="0.2">
      <c r="G45" s="4">
        <v>45478</v>
      </c>
      <c r="H45" s="6" t="s">
        <v>65</v>
      </c>
      <c r="I45" t="s">
        <v>8</v>
      </c>
    </row>
    <row r="46" spans="1:9" ht="51" x14ac:dyDescent="0.2">
      <c r="G46" s="4">
        <v>45478</v>
      </c>
      <c r="H46" s="6" t="s">
        <v>66</v>
      </c>
      <c r="I46" t="s">
        <v>8</v>
      </c>
    </row>
    <row r="47" spans="1:9" ht="34" x14ac:dyDescent="0.2">
      <c r="G47" s="4">
        <v>45482</v>
      </c>
      <c r="H47" s="6" t="s">
        <v>67</v>
      </c>
      <c r="I47" t="s">
        <v>8</v>
      </c>
    </row>
    <row r="48" spans="1:9" ht="17" x14ac:dyDescent="0.2">
      <c r="G48" s="4">
        <v>45483</v>
      </c>
      <c r="H48" s="6" t="s">
        <v>69</v>
      </c>
      <c r="I48" t="s">
        <v>8</v>
      </c>
    </row>
    <row r="49" spans="1:9" ht="17" x14ac:dyDescent="0.2">
      <c r="G49" s="4">
        <v>45494</v>
      </c>
      <c r="H49" s="6" t="s">
        <v>70</v>
      </c>
      <c r="I49" t="s">
        <v>8</v>
      </c>
    </row>
    <row r="50" spans="1:9" ht="17" x14ac:dyDescent="0.2">
      <c r="G50" s="4">
        <v>45566</v>
      </c>
      <c r="H50" s="6" t="s">
        <v>73</v>
      </c>
      <c r="I50" t="s">
        <v>8</v>
      </c>
    </row>
    <row r="51" spans="1:9" ht="17" x14ac:dyDescent="0.2">
      <c r="G51" s="4">
        <v>45589</v>
      </c>
      <c r="H51" s="6" t="s">
        <v>75</v>
      </c>
      <c r="I51" t="s">
        <v>8</v>
      </c>
    </row>
    <row r="52" spans="1:9" ht="102" x14ac:dyDescent="0.2">
      <c r="A52" s="10">
        <v>13</v>
      </c>
      <c r="B52" t="s">
        <v>20</v>
      </c>
      <c r="C52" s="6" t="s">
        <v>72</v>
      </c>
      <c r="E52" s="4">
        <v>45595</v>
      </c>
      <c r="F52" s="9">
        <v>45607</v>
      </c>
      <c r="G52" s="4">
        <v>45595</v>
      </c>
      <c r="H52" s="6" t="s">
        <v>77</v>
      </c>
      <c r="I52" t="s">
        <v>8</v>
      </c>
    </row>
    <row r="53" spans="1:9" ht="17" x14ac:dyDescent="0.2">
      <c r="G53" s="4">
        <v>45600</v>
      </c>
      <c r="H53" s="6" t="s">
        <v>78</v>
      </c>
      <c r="I53" t="s">
        <v>8</v>
      </c>
    </row>
    <row r="54" spans="1:9" ht="34" x14ac:dyDescent="0.2">
      <c r="G54" s="4">
        <v>45607</v>
      </c>
      <c r="H54" s="6" t="s">
        <v>79</v>
      </c>
      <c r="I54" t="s">
        <v>8</v>
      </c>
    </row>
    <row r="55" spans="1:9" ht="17" x14ac:dyDescent="0.2">
      <c r="G55" s="4">
        <v>45607</v>
      </c>
      <c r="H55" s="6" t="s">
        <v>80</v>
      </c>
      <c r="I55" t="s">
        <v>8</v>
      </c>
    </row>
    <row r="56" spans="1:9" ht="17" x14ac:dyDescent="0.2">
      <c r="G56" s="4">
        <v>45607</v>
      </c>
      <c r="H56" s="6" t="s">
        <v>81</v>
      </c>
      <c r="I56" t="s">
        <v>20</v>
      </c>
    </row>
    <row r="57" spans="1:9" ht="68" x14ac:dyDescent="0.2">
      <c r="A57" s="10">
        <v>14</v>
      </c>
      <c r="B57" t="s">
        <v>8</v>
      </c>
      <c r="C57" s="6" t="s">
        <v>84</v>
      </c>
      <c r="E57" s="4">
        <v>45607</v>
      </c>
      <c r="F57" s="9">
        <v>45682</v>
      </c>
      <c r="G57" s="4">
        <v>45681</v>
      </c>
      <c r="H57" s="6" t="s">
        <v>86</v>
      </c>
      <c r="I57" t="s">
        <v>8</v>
      </c>
    </row>
    <row r="58" spans="1:9" ht="51" x14ac:dyDescent="0.2">
      <c r="A58" s="10">
        <v>15</v>
      </c>
      <c r="B58" t="s">
        <v>74</v>
      </c>
      <c r="C58" s="6" t="s">
        <v>85</v>
      </c>
      <c r="E58" s="4">
        <v>45681</v>
      </c>
      <c r="F58" s="4">
        <v>45681</v>
      </c>
      <c r="G58" s="4">
        <v>45681</v>
      </c>
      <c r="H58" s="6" t="s">
        <v>87</v>
      </c>
      <c r="I58" t="s">
        <v>74</v>
      </c>
    </row>
    <row r="59" spans="1:9" ht="85" x14ac:dyDescent="0.2">
      <c r="A59" s="10">
        <v>16</v>
      </c>
      <c r="B59" t="s">
        <v>20</v>
      </c>
      <c r="C59" s="6" t="s">
        <v>88</v>
      </c>
      <c r="D59" s="6" t="s">
        <v>89</v>
      </c>
      <c r="E59" s="4">
        <v>45688</v>
      </c>
      <c r="F59" s="4">
        <v>45688</v>
      </c>
      <c r="G59" s="4">
        <v>45688</v>
      </c>
      <c r="H59" s="6" t="s">
        <v>90</v>
      </c>
      <c r="I59" s="4" t="s">
        <v>8</v>
      </c>
    </row>
    <row r="60" spans="1:9" ht="119" x14ac:dyDescent="0.2">
      <c r="G60" s="4">
        <v>45688</v>
      </c>
      <c r="H60" s="6" t="s">
        <v>91</v>
      </c>
      <c r="I60" t="s">
        <v>20</v>
      </c>
    </row>
    <row r="61" spans="1:9" ht="85" x14ac:dyDescent="0.2">
      <c r="A61" s="10">
        <v>17</v>
      </c>
      <c r="B61" t="s">
        <v>74</v>
      </c>
      <c r="C61" s="6" t="s">
        <v>92</v>
      </c>
      <c r="E61" s="4">
        <v>45705</v>
      </c>
      <c r="F61" s="9">
        <v>45706</v>
      </c>
      <c r="H61" s="6" t="s">
        <v>93</v>
      </c>
      <c r="I61" t="s">
        <v>8</v>
      </c>
    </row>
    <row r="62" spans="1:9" ht="51" x14ac:dyDescent="0.2">
      <c r="F62" s="4"/>
      <c r="G62" s="4">
        <v>45705</v>
      </c>
      <c r="H62" s="6" t="s">
        <v>100</v>
      </c>
      <c r="I62" t="s">
        <v>74</v>
      </c>
    </row>
    <row r="63" spans="1:9" ht="51" x14ac:dyDescent="0.2">
      <c r="A63" s="10">
        <v>18</v>
      </c>
      <c r="B63" t="s">
        <v>74</v>
      </c>
      <c r="C63" s="6" t="s">
        <v>94</v>
      </c>
      <c r="E63" s="4">
        <v>45706</v>
      </c>
      <c r="F63" s="4">
        <v>45707</v>
      </c>
      <c r="G63" s="4">
        <v>45706</v>
      </c>
      <c r="H63" s="6" t="s">
        <v>95</v>
      </c>
      <c r="I63" t="s">
        <v>74</v>
      </c>
    </row>
    <row r="64" spans="1:9" ht="51" x14ac:dyDescent="0.2">
      <c r="H64" s="6" t="s">
        <v>96</v>
      </c>
      <c r="I64" t="s">
        <v>8</v>
      </c>
    </row>
    <row r="65" spans="1:9" ht="51" x14ac:dyDescent="0.2">
      <c r="H65" s="6" t="s">
        <v>97</v>
      </c>
      <c r="I65" t="s">
        <v>8</v>
      </c>
    </row>
    <row r="66" spans="1:9" ht="51" x14ac:dyDescent="0.2">
      <c r="H66" s="6" t="s">
        <v>98</v>
      </c>
      <c r="I66" t="s">
        <v>8</v>
      </c>
    </row>
    <row r="67" spans="1:9" ht="17" x14ac:dyDescent="0.2">
      <c r="H67" s="6" t="s">
        <v>99</v>
      </c>
    </row>
    <row r="68" spans="1:9" ht="34" x14ac:dyDescent="0.2">
      <c r="G68" s="4">
        <v>45707</v>
      </c>
      <c r="H68" s="6" t="s">
        <v>101</v>
      </c>
      <c r="I68" t="s">
        <v>74</v>
      </c>
    </row>
    <row r="69" spans="1:9" ht="85" x14ac:dyDescent="0.2">
      <c r="A69" s="10">
        <v>19</v>
      </c>
      <c r="B69" t="s">
        <v>20</v>
      </c>
      <c r="C69" s="6" t="s">
        <v>102</v>
      </c>
      <c r="E69" s="4">
        <v>45707</v>
      </c>
      <c r="F69" s="9">
        <v>45707</v>
      </c>
      <c r="G69" s="4">
        <v>45707</v>
      </c>
      <c r="H69" s="6" t="s">
        <v>103</v>
      </c>
      <c r="I69" t="s">
        <v>8</v>
      </c>
    </row>
    <row r="70" spans="1:9" ht="51" x14ac:dyDescent="0.2">
      <c r="G70" s="4">
        <v>45707</v>
      </c>
      <c r="H70" s="6" t="s">
        <v>104</v>
      </c>
      <c r="I70" t="s">
        <v>20</v>
      </c>
    </row>
    <row r="71" spans="1:9" ht="136" x14ac:dyDescent="0.2">
      <c r="A71" s="10">
        <v>20</v>
      </c>
      <c r="B71" t="s">
        <v>20</v>
      </c>
      <c r="C71" s="6" t="s">
        <v>105</v>
      </c>
      <c r="E71" s="4">
        <v>45707</v>
      </c>
      <c r="F71" s="9">
        <v>45708</v>
      </c>
      <c r="G71" s="4">
        <v>45708</v>
      </c>
      <c r="H71" s="6" t="s">
        <v>106</v>
      </c>
      <c r="I71" t="s">
        <v>20</v>
      </c>
    </row>
    <row r="72" spans="1:9" ht="85" x14ac:dyDescent="0.2">
      <c r="A72" s="10">
        <v>21</v>
      </c>
      <c r="B72" t="s">
        <v>20</v>
      </c>
      <c r="C72" s="6" t="s">
        <v>107</v>
      </c>
      <c r="E72" s="4">
        <v>45709</v>
      </c>
      <c r="F72" s="9">
        <v>45709</v>
      </c>
      <c r="G72" s="4">
        <v>45709</v>
      </c>
      <c r="H72" s="6" t="s">
        <v>108</v>
      </c>
      <c r="I72" t="s">
        <v>20</v>
      </c>
    </row>
    <row r="73" spans="1:9" ht="102" x14ac:dyDescent="0.2">
      <c r="A73" s="10">
        <v>22</v>
      </c>
      <c r="B73" t="s">
        <v>8</v>
      </c>
      <c r="C73" s="6" t="s">
        <v>109</v>
      </c>
      <c r="E73" s="4">
        <v>45713</v>
      </c>
    </row>
    <row r="74" spans="1:9" ht="119" x14ac:dyDescent="0.2">
      <c r="A74" s="10">
        <v>23</v>
      </c>
      <c r="B74" t="s">
        <v>8</v>
      </c>
      <c r="C74" s="6" t="s">
        <v>110</v>
      </c>
      <c r="E74" s="4">
        <v>45715</v>
      </c>
    </row>
  </sheetData>
  <mergeCells count="7">
    <mergeCell ref="G1:I1"/>
    <mergeCell ref="A1:A2"/>
    <mergeCell ref="B1:B2"/>
    <mergeCell ref="C1:C2"/>
    <mergeCell ref="E1:E2"/>
    <mergeCell ref="F1:F2"/>
    <mergeCell ref="D1:D2"/>
  </mergeCells>
  <conditionalFormatting sqref="B1:B67 B69 B71:B1048576">
    <cfRule type="iconSet" priority="1">
      <iconSet iconSet="3Symbols" showValue="0">
        <cfvo type="percent" val="0"/>
        <cfvo type="formula" val="&quot;OPEN&quot;" gte="0"/>
        <cfvo type="formula" val="&quot;RESOLVED&quot;"/>
      </iconSet>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Rowanhill</dc:creator>
  <cp:lastModifiedBy>Jonathan Rowanhill</cp:lastModifiedBy>
  <dcterms:created xsi:type="dcterms:W3CDTF">2024-01-24T17:58:49Z</dcterms:created>
  <dcterms:modified xsi:type="dcterms:W3CDTF">2025-02-27T20:20:08Z</dcterms:modified>
</cp:coreProperties>
</file>